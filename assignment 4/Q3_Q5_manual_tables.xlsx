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Q3 manual score" sheetId="1" state="visible" r:id="rId3"/>
    <sheet name="Q5 manual NW table" sheetId="2" state="visible" r:id="rId4"/>
  </sheets>
  <definedNames>
    <definedName function="false" hidden="false" localSheetId="0" name="_xlnm.Print_Area" vbProcedure="false">'Q3 manual score'!$B$2:$J$25</definedName>
    <definedName function="false" hidden="false" localSheetId="1" name="_xlnm.Print_Area" vbProcedure="false">'Q5 manual NW table'!$B$2:$N$33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<sst xmlns="http://schemas.openxmlformats.org/spreadsheetml/2006/main" count="108" uniqueCount="37">
  <si>
    <t xml:space="preserve">Q3  |  Hand check of the Q2 alignment score</t>
  </si>
  <si>
    <t xml:space="preserve">Alignment:  AATCTATA  over  AAG--ATA   |   affine gap model</t>
  </si>
  <si>
    <t xml:space="preserve">Scoring parameters</t>
  </si>
  <si>
    <t xml:space="preserve">Match</t>
  </si>
  <si>
    <t xml:space="preserve">Mismatch</t>
  </si>
  <si>
    <t xml:space="preserve">Gap origination</t>
  </si>
  <si>
    <t xml:space="preserve">Gap length</t>
  </si>
  <si>
    <t xml:space="preserve">Column</t>
  </si>
  <si>
    <t xml:space="preserve">Seq 1</t>
  </si>
  <si>
    <t xml:space="preserve">Seq 2</t>
  </si>
  <si>
    <t xml:space="preserve">Event</t>
  </si>
  <si>
    <t xml:space="preserve">Origination</t>
  </si>
  <si>
    <t xml:space="preserve">Length</t>
  </si>
  <si>
    <t xml:space="preserve">Match / mismatch</t>
  </si>
  <si>
    <t xml:space="preserve">Column score</t>
  </si>
  <si>
    <t xml:space="preserve">Running total</t>
  </si>
  <si>
    <t xml:space="preserve">A</t>
  </si>
  <si>
    <t xml:space="preserve">match</t>
  </si>
  <si>
    <t xml:space="preserve">T</t>
  </si>
  <si>
    <t xml:space="preserve">G</t>
  </si>
  <si>
    <t xml:space="preserve">mismatch</t>
  </si>
  <si>
    <t xml:space="preserve">C</t>
  </si>
  <si>
    <t xml:space="preserve">-</t>
  </si>
  <si>
    <t xml:space="preserve">gap opening</t>
  </si>
  <si>
    <t xml:space="preserve">gap extension</t>
  </si>
  <si>
    <t xml:space="preserve">Total alignment score</t>
  </si>
  <si>
    <t xml:space="preserve">The hand calculation and the q2.py output agree: the score is 1.</t>
  </si>
  <si>
    <t xml:space="preserve">Columns 4 and 5 form one gap, so origination is charged once and length is charged twice.</t>
  </si>
  <si>
    <t xml:space="preserve">Q5  |  Needleman-Wunsch table built by hand</t>
  </si>
  <si>
    <t xml:space="preserve">Rows: ACAGTCGAACG    Columns: ACCGTCCG</t>
  </si>
  <si>
    <t xml:space="preserve">Gap</t>
  </si>
  <si>
    <t xml:space="preserve">Traceback (shaded cells)</t>
  </si>
  <si>
    <t xml:space="preserve">|</t>
  </si>
  <si>
    <t xml:space="preserve">.</t>
  </si>
  <si>
    <t xml:space="preserve"> </t>
  </si>
  <si>
    <t xml:space="preserve">Final cell = 7, the same score the q4.py run reports.</t>
  </si>
  <si>
    <t xml:space="preserve">Every cell holds the live recurrence MAX(diagonal + match score, above + gap, left + gap).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</si>
</sst>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000000"/>
      <name val="Arial"/>
      <family val="0"/>
      <charset val="1"/>
    </font>
    <font>
      <sz val="10"/>
      <color rgb="FF4A5568"/>
      <name val="Arial"/>
      <family val="0"/>
      <charset val="1"/>
    </font>
    <font>
      <b val="true"/>
      <sz val="11"/>
      <color rgb="FF000000"/>
      <name val="Arial"/>
      <family val="0"/>
      <charset val="1"/>
    </font>
    <font>
      <sz val="11"/>
      <color rgb="FF00000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color rgb="FF000000"/>
      <name val="Arial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FFF3B0"/>
        <bgColor rgb="FFEDF2F4"/>
      </patternFill>
    </fill>
    <fill>
      <patternFill patternType="solid">
        <fgColor rgb="FF1B4965"/>
        <bgColor rgb="FF333333"/>
      </patternFill>
    </fill>
    <fill>
      <patternFill patternType="solid">
        <fgColor rgb="FFD9EAD3"/>
        <bgColor rgb="FFBEE9E8"/>
      </patternFill>
    </fill>
    <fill>
      <patternFill patternType="solid">
        <fgColor rgb="FFF4CCCC"/>
        <bgColor rgb="FFD9EAD3"/>
      </patternFill>
    </fill>
    <fill>
      <patternFill patternType="solid">
        <fgColor rgb="FFBEE9E8"/>
        <bgColor rgb="FFD9EAD3"/>
      </patternFill>
    </fill>
    <fill>
      <patternFill patternType="solid">
        <fgColor rgb="FFFFD166"/>
        <bgColor rgb="FFFFCC00"/>
      </patternFill>
    </fill>
    <fill>
      <patternFill patternType="solid">
        <fgColor rgb="FFEDF2F4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9AA5B1"/>
      </left>
      <right style="thin">
        <color rgb="FF9AA5B1"/>
      </right>
      <top style="thin">
        <color rgb="FF9AA5B1"/>
      </top>
      <bottom style="thin">
        <color rgb="FF9AA5B1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6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EDF2F4"/>
      <rgbColor rgb="FFBEE9E8"/>
      <rgbColor rgb="FF660066"/>
      <rgbColor rgb="FFFF8080"/>
      <rgbColor rgb="FF0066CC"/>
      <rgbColor rgb="FFF4CCC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EAD3"/>
      <rgbColor rgb="FFFFF3B0"/>
      <rgbColor rgb="FF99CCFF"/>
      <rgbColor rgb="FFFF99CC"/>
      <rgbColor rgb="FFCC99FF"/>
      <rgbColor rgb="FFFFD166"/>
      <rgbColor rgb="FF3366FF"/>
      <rgbColor rgb="FF33CCCC"/>
      <rgbColor rgb="FF99CC00"/>
      <rgbColor rgb="FFFFCC00"/>
      <rgbColor rgb="FFFF9900"/>
      <rgbColor rgb="FFFF6600"/>
      <rgbColor rgb="FF4A5568"/>
      <rgbColor rgb="FF9AA5B1"/>
      <rgbColor rgb="FF1B4965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2:J23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2" style="0" width="17"/>
    <col collapsed="false" customWidth="true" hidden="false" outlineLevel="0" max="4" min="3" style="0" width="8"/>
    <col collapsed="false" customWidth="true" hidden="false" outlineLevel="0" max="5" min="5" style="0" width="16"/>
    <col collapsed="false" customWidth="true" hidden="false" outlineLevel="0" max="6" min="6" style="0" width="13"/>
    <col collapsed="false" customWidth="true" hidden="false" outlineLevel="0" max="7" min="7" style="0" width="10"/>
    <col collapsed="false" customWidth="true" hidden="false" outlineLevel="0" max="8" min="8" style="0" width="18"/>
    <col collapsed="false" customWidth="true" hidden="false" outlineLevel="0" max="9" min="9" style="0" width="14"/>
    <col collapsed="false" customWidth="true" hidden="false" outlineLevel="0" max="10" min="10" style="0" width="15"/>
  </cols>
  <sheetData>
    <row r="2" customFormat="false" ht="17.35" hidden="false" customHeight="false" outlineLevel="0" collapsed="false">
      <c r="B2" s="1" t="s">
        <v>0</v>
      </c>
    </row>
    <row r="3" customFormat="false" ht="15" hidden="false" customHeight="false" outlineLevel="0" collapsed="false">
      <c r="B3" s="2" t="s">
        <v>1</v>
      </c>
    </row>
    <row r="5" customFormat="false" ht="15" hidden="false" customHeight="false" outlineLevel="0" collapsed="false">
      <c r="B5" s="3" t="s">
        <v>2</v>
      </c>
    </row>
    <row r="6" customFormat="false" ht="15" hidden="false" customHeight="false" outlineLevel="0" collapsed="false">
      <c r="B6" s="4" t="s">
        <v>3</v>
      </c>
      <c r="C6" s="5" t="n">
        <v>1</v>
      </c>
    </row>
    <row r="7" customFormat="false" ht="15" hidden="false" customHeight="false" outlineLevel="0" collapsed="false">
      <c r="B7" s="4" t="s">
        <v>4</v>
      </c>
      <c r="C7" s="5" t="n">
        <v>0</v>
      </c>
    </row>
    <row r="8" customFormat="false" ht="15" hidden="false" customHeight="false" outlineLevel="0" collapsed="false">
      <c r="B8" s="4" t="s">
        <v>5</v>
      </c>
      <c r="C8" s="5" t="n">
        <v>-2</v>
      </c>
    </row>
    <row r="9" customFormat="false" ht="15" hidden="false" customHeight="false" outlineLevel="0" collapsed="false">
      <c r="B9" s="4" t="s">
        <v>6</v>
      </c>
      <c r="C9" s="5" t="n">
        <v>-1</v>
      </c>
    </row>
    <row r="11" customFormat="false" ht="15" hidden="false" customHeight="false" outlineLevel="0" collapsed="false">
      <c r="B11" s="6" t="s">
        <v>7</v>
      </c>
      <c r="C11" s="6" t="s">
        <v>8</v>
      </c>
      <c r="D11" s="6" t="s">
        <v>9</v>
      </c>
      <c r="E11" s="6" t="s">
        <v>10</v>
      </c>
      <c r="F11" s="6" t="s">
        <v>11</v>
      </c>
      <c r="G11" s="6" t="s">
        <v>12</v>
      </c>
      <c r="H11" s="6" t="s">
        <v>13</v>
      </c>
      <c r="I11" s="6" t="s">
        <v>14</v>
      </c>
      <c r="J11" s="6" t="s">
        <v>15</v>
      </c>
    </row>
    <row r="12" customFormat="false" ht="15" hidden="false" customHeight="false" outlineLevel="0" collapsed="false">
      <c r="B12" s="7" t="n">
        <v>1</v>
      </c>
      <c r="C12" s="8" t="s">
        <v>16</v>
      </c>
      <c r="D12" s="8" t="s">
        <v>16</v>
      </c>
      <c r="E12" s="9" t="s">
        <v>17</v>
      </c>
      <c r="F12" s="7" t="n">
        <v>0</v>
      </c>
      <c r="G12" s="7" t="n">
        <v>0</v>
      </c>
      <c r="H12" s="7" t="n">
        <f aca="false">$C$6</f>
        <v>1</v>
      </c>
      <c r="I12" s="8" t="n">
        <f aca="false">F12+G12+H12</f>
        <v>1</v>
      </c>
      <c r="J12" s="8" t="n">
        <f aca="false">0+I12</f>
        <v>1</v>
      </c>
    </row>
    <row r="13" customFormat="false" ht="15" hidden="false" customHeight="false" outlineLevel="0" collapsed="false">
      <c r="B13" s="7" t="n">
        <v>2</v>
      </c>
      <c r="C13" s="8" t="s">
        <v>16</v>
      </c>
      <c r="D13" s="8" t="s">
        <v>16</v>
      </c>
      <c r="E13" s="9" t="s">
        <v>17</v>
      </c>
      <c r="F13" s="7" t="n">
        <v>0</v>
      </c>
      <c r="G13" s="7" t="n">
        <v>0</v>
      </c>
      <c r="H13" s="7" t="n">
        <f aca="false">$C$6</f>
        <v>1</v>
      </c>
      <c r="I13" s="8" t="n">
        <f aca="false">F13+G13+H13</f>
        <v>1</v>
      </c>
      <c r="J13" s="8" t="n">
        <f aca="false">J12+I13</f>
        <v>2</v>
      </c>
    </row>
    <row r="14" customFormat="false" ht="15" hidden="false" customHeight="false" outlineLevel="0" collapsed="false">
      <c r="B14" s="10" t="n">
        <v>3</v>
      </c>
      <c r="C14" s="11" t="s">
        <v>18</v>
      </c>
      <c r="D14" s="11" t="s">
        <v>19</v>
      </c>
      <c r="E14" s="12" t="s">
        <v>20</v>
      </c>
      <c r="F14" s="10" t="n">
        <v>0</v>
      </c>
      <c r="G14" s="10" t="n">
        <v>0</v>
      </c>
      <c r="H14" s="10" t="n">
        <f aca="false">$C$7</f>
        <v>0</v>
      </c>
      <c r="I14" s="11" t="n">
        <f aca="false">F14+G14+H14</f>
        <v>0</v>
      </c>
      <c r="J14" s="11" t="n">
        <f aca="false">J13+I14</f>
        <v>2</v>
      </c>
    </row>
    <row r="15" customFormat="false" ht="15" hidden="false" customHeight="false" outlineLevel="0" collapsed="false">
      <c r="B15" s="13" t="n">
        <v>4</v>
      </c>
      <c r="C15" s="14" t="s">
        <v>21</v>
      </c>
      <c r="D15" s="14" t="s">
        <v>22</v>
      </c>
      <c r="E15" s="15" t="s">
        <v>23</v>
      </c>
      <c r="F15" s="13" t="n">
        <f aca="false">$C$8</f>
        <v>-2</v>
      </c>
      <c r="G15" s="13" t="n">
        <f aca="false">$C$9</f>
        <v>-1</v>
      </c>
      <c r="H15" s="13" t="n">
        <v>0</v>
      </c>
      <c r="I15" s="14" t="n">
        <f aca="false">F15+G15+H15</f>
        <v>-3</v>
      </c>
      <c r="J15" s="14" t="n">
        <f aca="false">J14+I15</f>
        <v>-1</v>
      </c>
    </row>
    <row r="16" customFormat="false" ht="15" hidden="false" customHeight="false" outlineLevel="0" collapsed="false">
      <c r="B16" s="13" t="n">
        <v>5</v>
      </c>
      <c r="C16" s="14" t="s">
        <v>18</v>
      </c>
      <c r="D16" s="14" t="s">
        <v>22</v>
      </c>
      <c r="E16" s="15" t="s">
        <v>24</v>
      </c>
      <c r="F16" s="13" t="n">
        <v>0</v>
      </c>
      <c r="G16" s="13" t="n">
        <f aca="false">$C$9</f>
        <v>-1</v>
      </c>
      <c r="H16" s="13" t="n">
        <v>0</v>
      </c>
      <c r="I16" s="14" t="n">
        <f aca="false">F16+G16+H16</f>
        <v>-1</v>
      </c>
      <c r="J16" s="14" t="n">
        <f aca="false">J15+I16</f>
        <v>-2</v>
      </c>
    </row>
    <row r="17" customFormat="false" ht="15" hidden="false" customHeight="false" outlineLevel="0" collapsed="false">
      <c r="B17" s="7" t="n">
        <v>6</v>
      </c>
      <c r="C17" s="8" t="s">
        <v>16</v>
      </c>
      <c r="D17" s="8" t="s">
        <v>16</v>
      </c>
      <c r="E17" s="9" t="s">
        <v>17</v>
      </c>
      <c r="F17" s="7" t="n">
        <v>0</v>
      </c>
      <c r="G17" s="7" t="n">
        <v>0</v>
      </c>
      <c r="H17" s="7" t="n">
        <f aca="false">$C$6</f>
        <v>1</v>
      </c>
      <c r="I17" s="8" t="n">
        <f aca="false">F17+G17+H17</f>
        <v>1</v>
      </c>
      <c r="J17" s="8" t="n">
        <f aca="false">J16+I17</f>
        <v>-1</v>
      </c>
    </row>
    <row r="18" customFormat="false" ht="15" hidden="false" customHeight="false" outlineLevel="0" collapsed="false">
      <c r="B18" s="7" t="n">
        <v>7</v>
      </c>
      <c r="C18" s="8" t="s">
        <v>18</v>
      </c>
      <c r="D18" s="8" t="s">
        <v>18</v>
      </c>
      <c r="E18" s="9" t="s">
        <v>17</v>
      </c>
      <c r="F18" s="7" t="n">
        <v>0</v>
      </c>
      <c r="G18" s="7" t="n">
        <v>0</v>
      </c>
      <c r="H18" s="7" t="n">
        <f aca="false">$C$6</f>
        <v>1</v>
      </c>
      <c r="I18" s="8" t="n">
        <f aca="false">F18+G18+H18</f>
        <v>1</v>
      </c>
      <c r="J18" s="8" t="n">
        <f aca="false">J17+I18</f>
        <v>0</v>
      </c>
    </row>
    <row r="19" customFormat="false" ht="15" hidden="false" customHeight="false" outlineLevel="0" collapsed="false">
      <c r="B19" s="7" t="n">
        <v>8</v>
      </c>
      <c r="C19" s="8" t="s">
        <v>16</v>
      </c>
      <c r="D19" s="8" t="s">
        <v>16</v>
      </c>
      <c r="E19" s="9" t="s">
        <v>17</v>
      </c>
      <c r="F19" s="7" t="n">
        <v>0</v>
      </c>
      <c r="G19" s="7" t="n">
        <v>0</v>
      </c>
      <c r="H19" s="7" t="n">
        <f aca="false">$C$6</f>
        <v>1</v>
      </c>
      <c r="I19" s="8" t="n">
        <f aca="false">F19+G19+H19</f>
        <v>1</v>
      </c>
      <c r="J19" s="8" t="n">
        <f aca="false">J18+I19</f>
        <v>1</v>
      </c>
    </row>
    <row r="20" customFormat="false" ht="15" hidden="false" customHeight="false" outlineLevel="0" collapsed="false">
      <c r="B20" s="16" t="s">
        <v>25</v>
      </c>
      <c r="C20" s="17"/>
      <c r="D20" s="17"/>
      <c r="E20" s="17"/>
      <c r="F20" s="17"/>
      <c r="G20" s="17"/>
      <c r="H20" s="17"/>
      <c r="I20" s="18" t="n">
        <f aca="false">SUM(I12:I19)</f>
        <v>1</v>
      </c>
      <c r="J20" s="18" t="n">
        <f aca="false">J19</f>
        <v>1</v>
      </c>
    </row>
    <row r="22" customFormat="false" ht="15" hidden="false" customHeight="false" outlineLevel="0" collapsed="false">
      <c r="B22" s="2" t="s">
        <v>26</v>
      </c>
    </row>
    <row r="23" customFormat="false" ht="15" hidden="false" customHeight="false" outlineLevel="0" collapsed="false">
      <c r="B23" s="2" t="s">
        <v>27</v>
      </c>
    </row>
  </sheetData>
  <printOptions headings="false" gridLines="false" gridLinesSet="true" horizontalCentered="false" verticalCentered="false"/>
  <pageMargins left="0.3" right="0.3" top="0.3" bottom="0.3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2:N3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2" style="0" width="13"/>
    <col collapsed="false" customWidth="true" hidden="false" outlineLevel="0" max="12" min="3" style="0" width="7"/>
  </cols>
  <sheetData>
    <row r="2" customFormat="false" ht="17.35" hidden="false" customHeight="false" outlineLevel="0" collapsed="false">
      <c r="B2" s="1" t="s">
        <v>28</v>
      </c>
    </row>
    <row r="3" customFormat="false" ht="15" hidden="false" customHeight="false" outlineLevel="0" collapsed="false">
      <c r="B3" s="2" t="s">
        <v>29</v>
      </c>
    </row>
    <row r="5" customFormat="false" ht="15" hidden="false" customHeight="false" outlineLevel="0" collapsed="false">
      <c r="B5" s="3" t="s">
        <v>2</v>
      </c>
    </row>
    <row r="6" customFormat="false" ht="15" hidden="false" customHeight="false" outlineLevel="0" collapsed="false">
      <c r="B6" s="4" t="s">
        <v>3</v>
      </c>
      <c r="C6" s="5" t="n">
        <v>2</v>
      </c>
    </row>
    <row r="7" customFormat="false" ht="15" hidden="false" customHeight="false" outlineLevel="0" collapsed="false">
      <c r="B7" s="4" t="s">
        <v>4</v>
      </c>
      <c r="C7" s="5" t="n">
        <v>-1</v>
      </c>
    </row>
    <row r="8" customFormat="false" ht="15" hidden="false" customHeight="false" outlineLevel="0" collapsed="false">
      <c r="B8" s="4" t="s">
        <v>30</v>
      </c>
      <c r="C8" s="5" t="n">
        <v>-2</v>
      </c>
    </row>
    <row r="11" customFormat="false" ht="15" hidden="false" customHeight="false" outlineLevel="0" collapsed="false">
      <c r="C11" s="19"/>
      <c r="D11" s="20" t="s">
        <v>22</v>
      </c>
      <c r="E11" s="20" t="s">
        <v>16</v>
      </c>
      <c r="F11" s="20" t="s">
        <v>21</v>
      </c>
      <c r="G11" s="20" t="s">
        <v>21</v>
      </c>
      <c r="H11" s="20" t="s">
        <v>19</v>
      </c>
      <c r="I11" s="20" t="s">
        <v>18</v>
      </c>
      <c r="J11" s="20" t="s">
        <v>21</v>
      </c>
      <c r="K11" s="20" t="s">
        <v>21</v>
      </c>
      <c r="L11" s="20" t="s">
        <v>19</v>
      </c>
    </row>
    <row r="12" customFormat="false" ht="15" hidden="false" customHeight="false" outlineLevel="0" collapsed="false">
      <c r="C12" s="20" t="s">
        <v>22</v>
      </c>
      <c r="D12" s="21" t="n">
        <v>0</v>
      </c>
      <c r="E12" s="22" t="n">
        <f aca="false">D12+$C$8</f>
        <v>-2</v>
      </c>
      <c r="F12" s="22" t="n">
        <f aca="false">E12+$C$8</f>
        <v>-4</v>
      </c>
      <c r="G12" s="22" t="n">
        <f aca="false">F12+$C$8</f>
        <v>-6</v>
      </c>
      <c r="H12" s="22" t="n">
        <f aca="false">G12+$C$8</f>
        <v>-8</v>
      </c>
      <c r="I12" s="22" t="n">
        <f aca="false">H12+$C$8</f>
        <v>-10</v>
      </c>
      <c r="J12" s="22" t="n">
        <f aca="false">I12+$C$8</f>
        <v>-12</v>
      </c>
      <c r="K12" s="22" t="n">
        <f aca="false">J12+$C$8</f>
        <v>-14</v>
      </c>
      <c r="L12" s="22" t="n">
        <f aca="false">K12+$C$8</f>
        <v>-16</v>
      </c>
    </row>
    <row r="13" customFormat="false" ht="15" hidden="false" customHeight="false" outlineLevel="0" collapsed="false">
      <c r="C13" s="20" t="s">
        <v>16</v>
      </c>
      <c r="D13" s="22" t="n">
        <f aca="false">D12+$C$8</f>
        <v>-2</v>
      </c>
      <c r="E13" s="21" t="n">
        <f aca="false">MAX(D12+IF($C13=E$11,$C$6,$C$7),E12+$C$8,D13+$C$8)</f>
        <v>2</v>
      </c>
      <c r="F13" s="10" t="n">
        <f aca="false">MAX(E12+IF($C13=F$11,$C$6,$C$7),F12+$C$8,E13+$C$8)</f>
        <v>0</v>
      </c>
      <c r="G13" s="10" t="n">
        <f aca="false">MAX(F12+IF($C13=G$11,$C$6,$C$7),G12+$C$8,F13+$C$8)</f>
        <v>-2</v>
      </c>
      <c r="H13" s="10" t="n">
        <f aca="false">MAX(G12+IF($C13=H$11,$C$6,$C$7),H12+$C$8,G13+$C$8)</f>
        <v>-4</v>
      </c>
      <c r="I13" s="10" t="n">
        <f aca="false">MAX(H12+IF($C13=I$11,$C$6,$C$7),I12+$C$8,H13+$C$8)</f>
        <v>-6</v>
      </c>
      <c r="J13" s="10" t="n">
        <f aca="false">MAX(I12+IF($C13=J$11,$C$6,$C$7),J12+$C$8,I13+$C$8)</f>
        <v>-8</v>
      </c>
      <c r="K13" s="10" t="n">
        <f aca="false">MAX(J12+IF($C13=K$11,$C$6,$C$7),K12+$C$8,J13+$C$8)</f>
        <v>-10</v>
      </c>
      <c r="L13" s="10" t="n">
        <f aca="false">MAX(K12+IF($C13=L$11,$C$6,$C$7),L12+$C$8,K13+$C$8)</f>
        <v>-12</v>
      </c>
    </row>
    <row r="14" customFormat="false" ht="15" hidden="false" customHeight="false" outlineLevel="0" collapsed="false">
      <c r="C14" s="20" t="s">
        <v>21</v>
      </c>
      <c r="D14" s="22" t="n">
        <f aca="false">D13+$C$8</f>
        <v>-4</v>
      </c>
      <c r="E14" s="10" t="n">
        <f aca="false">MAX(D13+IF($C14=E$11,$C$6,$C$7),E13+$C$8,D14+$C$8)</f>
        <v>0</v>
      </c>
      <c r="F14" s="21" t="n">
        <f aca="false">MAX(E13+IF($C14=F$11,$C$6,$C$7),F13+$C$8,E14+$C$8)</f>
        <v>4</v>
      </c>
      <c r="G14" s="10" t="n">
        <f aca="false">MAX(F13+IF($C14=G$11,$C$6,$C$7),G13+$C$8,F14+$C$8)</f>
        <v>2</v>
      </c>
      <c r="H14" s="10" t="n">
        <f aca="false">MAX(G13+IF($C14=H$11,$C$6,$C$7),H13+$C$8,G14+$C$8)</f>
        <v>0</v>
      </c>
      <c r="I14" s="10" t="n">
        <f aca="false">MAX(H13+IF($C14=I$11,$C$6,$C$7),I13+$C$8,H14+$C$8)</f>
        <v>-2</v>
      </c>
      <c r="J14" s="10" t="n">
        <f aca="false">MAX(I13+IF($C14=J$11,$C$6,$C$7),J13+$C$8,I14+$C$8)</f>
        <v>-4</v>
      </c>
      <c r="K14" s="10" t="n">
        <f aca="false">MAX(J13+IF($C14=K$11,$C$6,$C$7),K13+$C$8,J14+$C$8)</f>
        <v>-6</v>
      </c>
      <c r="L14" s="10" t="n">
        <f aca="false">MAX(K13+IF($C14=L$11,$C$6,$C$7),L13+$C$8,K14+$C$8)</f>
        <v>-8</v>
      </c>
    </row>
    <row r="15" customFormat="false" ht="15" hidden="false" customHeight="false" outlineLevel="0" collapsed="false">
      <c r="C15" s="20" t="s">
        <v>16</v>
      </c>
      <c r="D15" s="22" t="n">
        <f aca="false">D14+$C$8</f>
        <v>-6</v>
      </c>
      <c r="E15" s="10" t="n">
        <f aca="false">MAX(D14+IF($C15=E$11,$C$6,$C$7),E14+$C$8,D15+$C$8)</f>
        <v>-2</v>
      </c>
      <c r="F15" s="10" t="n">
        <f aca="false">MAX(E14+IF($C15=F$11,$C$6,$C$7),F14+$C$8,E15+$C$8)</f>
        <v>2</v>
      </c>
      <c r="G15" s="21" t="n">
        <f aca="false">MAX(F14+IF($C15=G$11,$C$6,$C$7),G14+$C$8,F15+$C$8)</f>
        <v>3</v>
      </c>
      <c r="H15" s="10" t="n">
        <f aca="false">MAX(G14+IF($C15=H$11,$C$6,$C$7),H14+$C$8,G15+$C$8)</f>
        <v>1</v>
      </c>
      <c r="I15" s="10" t="n">
        <f aca="false">MAX(H14+IF($C15=I$11,$C$6,$C$7),I14+$C$8,H15+$C$8)</f>
        <v>-1</v>
      </c>
      <c r="J15" s="10" t="n">
        <f aca="false">MAX(I14+IF($C15=J$11,$C$6,$C$7),J14+$C$8,I15+$C$8)</f>
        <v>-3</v>
      </c>
      <c r="K15" s="10" t="n">
        <f aca="false">MAX(J14+IF($C15=K$11,$C$6,$C$7),K14+$C$8,J15+$C$8)</f>
        <v>-5</v>
      </c>
      <c r="L15" s="10" t="n">
        <f aca="false">MAX(K14+IF($C15=L$11,$C$6,$C$7),L14+$C$8,K15+$C$8)</f>
        <v>-7</v>
      </c>
    </row>
    <row r="16" customFormat="false" ht="15" hidden="false" customHeight="false" outlineLevel="0" collapsed="false">
      <c r="C16" s="20" t="s">
        <v>19</v>
      </c>
      <c r="D16" s="22" t="n">
        <f aca="false">D15+$C$8</f>
        <v>-8</v>
      </c>
      <c r="E16" s="10" t="n">
        <f aca="false">MAX(D15+IF($C16=E$11,$C$6,$C$7),E15+$C$8,D16+$C$8)</f>
        <v>-4</v>
      </c>
      <c r="F16" s="10" t="n">
        <f aca="false">MAX(E15+IF($C16=F$11,$C$6,$C$7),F15+$C$8,E16+$C$8)</f>
        <v>0</v>
      </c>
      <c r="G16" s="10" t="n">
        <f aca="false">MAX(F15+IF($C16=G$11,$C$6,$C$7),G15+$C$8,F16+$C$8)</f>
        <v>1</v>
      </c>
      <c r="H16" s="21" t="n">
        <f aca="false">MAX(G15+IF($C16=H$11,$C$6,$C$7),H15+$C$8,G16+$C$8)</f>
        <v>5</v>
      </c>
      <c r="I16" s="10" t="n">
        <f aca="false">MAX(H15+IF($C16=I$11,$C$6,$C$7),I15+$C$8,H16+$C$8)</f>
        <v>3</v>
      </c>
      <c r="J16" s="10" t="n">
        <f aca="false">MAX(I15+IF($C16=J$11,$C$6,$C$7),J15+$C$8,I16+$C$8)</f>
        <v>1</v>
      </c>
      <c r="K16" s="10" t="n">
        <f aca="false">MAX(J15+IF($C16=K$11,$C$6,$C$7),K15+$C$8,J16+$C$8)</f>
        <v>-1</v>
      </c>
      <c r="L16" s="10" t="n">
        <f aca="false">MAX(K15+IF($C16=L$11,$C$6,$C$7),L15+$C$8,K16+$C$8)</f>
        <v>-3</v>
      </c>
    </row>
    <row r="17" customFormat="false" ht="15" hidden="false" customHeight="false" outlineLevel="0" collapsed="false">
      <c r="C17" s="20" t="s">
        <v>18</v>
      </c>
      <c r="D17" s="22" t="n">
        <f aca="false">D16+$C$8</f>
        <v>-10</v>
      </c>
      <c r="E17" s="10" t="n">
        <f aca="false">MAX(D16+IF($C17=E$11,$C$6,$C$7),E16+$C$8,D17+$C$8)</f>
        <v>-6</v>
      </c>
      <c r="F17" s="10" t="n">
        <f aca="false">MAX(E16+IF($C17=F$11,$C$6,$C$7),F16+$C$8,E17+$C$8)</f>
        <v>-2</v>
      </c>
      <c r="G17" s="10" t="n">
        <f aca="false">MAX(F16+IF($C17=G$11,$C$6,$C$7),G16+$C$8,F17+$C$8)</f>
        <v>-1</v>
      </c>
      <c r="H17" s="10" t="n">
        <f aca="false">MAX(G16+IF($C17=H$11,$C$6,$C$7),H16+$C$8,G17+$C$8)</f>
        <v>3</v>
      </c>
      <c r="I17" s="21" t="n">
        <f aca="false">MAX(H16+IF($C17=I$11,$C$6,$C$7),I16+$C$8,H17+$C$8)</f>
        <v>7</v>
      </c>
      <c r="J17" s="10" t="n">
        <f aca="false">MAX(I16+IF($C17=J$11,$C$6,$C$7),J16+$C$8,I17+$C$8)</f>
        <v>5</v>
      </c>
      <c r="K17" s="10" t="n">
        <f aca="false">MAX(J16+IF($C17=K$11,$C$6,$C$7),K16+$C$8,J17+$C$8)</f>
        <v>3</v>
      </c>
      <c r="L17" s="10" t="n">
        <f aca="false">MAX(K16+IF($C17=L$11,$C$6,$C$7),L16+$C$8,K17+$C$8)</f>
        <v>1</v>
      </c>
    </row>
    <row r="18" customFormat="false" ht="15" hidden="false" customHeight="false" outlineLevel="0" collapsed="false">
      <c r="C18" s="20" t="s">
        <v>21</v>
      </c>
      <c r="D18" s="22" t="n">
        <f aca="false">D17+$C$8</f>
        <v>-12</v>
      </c>
      <c r="E18" s="10" t="n">
        <f aca="false">MAX(D17+IF($C18=E$11,$C$6,$C$7),E17+$C$8,D18+$C$8)</f>
        <v>-8</v>
      </c>
      <c r="F18" s="10" t="n">
        <f aca="false">MAX(E17+IF($C18=F$11,$C$6,$C$7),F17+$C$8,E18+$C$8)</f>
        <v>-4</v>
      </c>
      <c r="G18" s="10" t="n">
        <f aca="false">MAX(F17+IF($C18=G$11,$C$6,$C$7),G17+$C$8,F18+$C$8)</f>
        <v>0</v>
      </c>
      <c r="H18" s="10" t="n">
        <f aca="false">MAX(G17+IF($C18=H$11,$C$6,$C$7),H17+$C$8,G18+$C$8)</f>
        <v>1</v>
      </c>
      <c r="I18" s="10" t="n">
        <f aca="false">MAX(H17+IF($C18=I$11,$C$6,$C$7),I17+$C$8,H18+$C$8)</f>
        <v>5</v>
      </c>
      <c r="J18" s="21" t="n">
        <f aca="false">MAX(I17+IF($C18=J$11,$C$6,$C$7),J17+$C$8,I18+$C$8)</f>
        <v>9</v>
      </c>
      <c r="K18" s="10" t="n">
        <f aca="false">MAX(J17+IF($C18=K$11,$C$6,$C$7),K17+$C$8,J18+$C$8)</f>
        <v>7</v>
      </c>
      <c r="L18" s="10" t="n">
        <f aca="false">MAX(K17+IF($C18=L$11,$C$6,$C$7),L17+$C$8,K18+$C$8)</f>
        <v>5</v>
      </c>
    </row>
    <row r="19" customFormat="false" ht="15" hidden="false" customHeight="false" outlineLevel="0" collapsed="false">
      <c r="C19" s="20" t="s">
        <v>19</v>
      </c>
      <c r="D19" s="22" t="n">
        <f aca="false">D18+$C$8</f>
        <v>-14</v>
      </c>
      <c r="E19" s="10" t="n">
        <f aca="false">MAX(D18+IF($C19=E$11,$C$6,$C$7),E18+$C$8,D19+$C$8)</f>
        <v>-10</v>
      </c>
      <c r="F19" s="10" t="n">
        <f aca="false">MAX(E18+IF($C19=F$11,$C$6,$C$7),F18+$C$8,E19+$C$8)</f>
        <v>-6</v>
      </c>
      <c r="G19" s="10" t="n">
        <f aca="false">MAX(F18+IF($C19=G$11,$C$6,$C$7),G18+$C$8,F19+$C$8)</f>
        <v>-2</v>
      </c>
      <c r="H19" s="10" t="n">
        <f aca="false">MAX(G18+IF($C19=H$11,$C$6,$C$7),H18+$C$8,G19+$C$8)</f>
        <v>2</v>
      </c>
      <c r="I19" s="10" t="n">
        <f aca="false">MAX(H18+IF($C19=I$11,$C$6,$C$7),I18+$C$8,H19+$C$8)</f>
        <v>3</v>
      </c>
      <c r="J19" s="21" t="n">
        <f aca="false">MAX(I18+IF($C19=J$11,$C$6,$C$7),J18+$C$8,I19+$C$8)</f>
        <v>7</v>
      </c>
      <c r="K19" s="10" t="n">
        <f aca="false">MAX(J18+IF($C19=K$11,$C$6,$C$7),K18+$C$8,J19+$C$8)</f>
        <v>8</v>
      </c>
      <c r="L19" s="10" t="n">
        <f aca="false">MAX(K18+IF($C19=L$11,$C$6,$C$7),L18+$C$8,K19+$C$8)</f>
        <v>9</v>
      </c>
    </row>
    <row r="20" customFormat="false" ht="15" hidden="false" customHeight="false" outlineLevel="0" collapsed="false">
      <c r="C20" s="20" t="s">
        <v>16</v>
      </c>
      <c r="D20" s="22" t="n">
        <f aca="false">D19+$C$8</f>
        <v>-16</v>
      </c>
      <c r="E20" s="10" t="n">
        <f aca="false">MAX(D19+IF($C20=E$11,$C$6,$C$7),E19+$C$8,D20+$C$8)</f>
        <v>-12</v>
      </c>
      <c r="F20" s="10" t="n">
        <f aca="false">MAX(E19+IF($C20=F$11,$C$6,$C$7),F19+$C$8,E20+$C$8)</f>
        <v>-8</v>
      </c>
      <c r="G20" s="10" t="n">
        <f aca="false">MAX(F19+IF($C20=G$11,$C$6,$C$7),G19+$C$8,F20+$C$8)</f>
        <v>-4</v>
      </c>
      <c r="H20" s="10" t="n">
        <f aca="false">MAX(G19+IF($C20=H$11,$C$6,$C$7),H19+$C$8,G20+$C$8)</f>
        <v>0</v>
      </c>
      <c r="I20" s="10" t="n">
        <f aca="false">MAX(H19+IF($C20=I$11,$C$6,$C$7),I19+$C$8,H20+$C$8)</f>
        <v>1</v>
      </c>
      <c r="J20" s="21" t="n">
        <f aca="false">MAX(I19+IF($C20=J$11,$C$6,$C$7),J19+$C$8,I20+$C$8)</f>
        <v>5</v>
      </c>
      <c r="K20" s="10" t="n">
        <f aca="false">MAX(J19+IF($C20=K$11,$C$6,$C$7),K19+$C$8,J20+$C$8)</f>
        <v>6</v>
      </c>
      <c r="L20" s="10" t="n">
        <f aca="false">MAX(K19+IF($C20=L$11,$C$6,$C$7),L19+$C$8,K20+$C$8)</f>
        <v>7</v>
      </c>
    </row>
    <row r="21" customFormat="false" ht="15" hidden="false" customHeight="false" outlineLevel="0" collapsed="false">
      <c r="C21" s="20" t="s">
        <v>16</v>
      </c>
      <c r="D21" s="22" t="n">
        <f aca="false">D20+$C$8</f>
        <v>-18</v>
      </c>
      <c r="E21" s="10" t="n">
        <f aca="false">MAX(D20+IF($C21=E$11,$C$6,$C$7),E20+$C$8,D21+$C$8)</f>
        <v>-14</v>
      </c>
      <c r="F21" s="10" t="n">
        <f aca="false">MAX(E20+IF($C21=F$11,$C$6,$C$7),F20+$C$8,E21+$C$8)</f>
        <v>-10</v>
      </c>
      <c r="G21" s="10" t="n">
        <f aca="false">MAX(F20+IF($C21=G$11,$C$6,$C$7),G20+$C$8,F21+$C$8)</f>
        <v>-6</v>
      </c>
      <c r="H21" s="10" t="n">
        <f aca="false">MAX(G20+IF($C21=H$11,$C$6,$C$7),H20+$C$8,G21+$C$8)</f>
        <v>-2</v>
      </c>
      <c r="I21" s="10" t="n">
        <f aca="false">MAX(H20+IF($C21=I$11,$C$6,$C$7),I20+$C$8,H21+$C$8)</f>
        <v>-1</v>
      </c>
      <c r="J21" s="21" t="n">
        <f aca="false">MAX(I20+IF($C21=J$11,$C$6,$C$7),J20+$C$8,I21+$C$8)</f>
        <v>3</v>
      </c>
      <c r="K21" s="10" t="n">
        <f aca="false">MAX(J20+IF($C21=K$11,$C$6,$C$7),K20+$C$8,J21+$C$8)</f>
        <v>4</v>
      </c>
      <c r="L21" s="10" t="n">
        <f aca="false">MAX(K20+IF($C21=L$11,$C$6,$C$7),L20+$C$8,K21+$C$8)</f>
        <v>5</v>
      </c>
    </row>
    <row r="22" customFormat="false" ht="15" hidden="false" customHeight="false" outlineLevel="0" collapsed="false">
      <c r="C22" s="20" t="s">
        <v>21</v>
      </c>
      <c r="D22" s="22" t="n">
        <f aca="false">D21+$C$8</f>
        <v>-20</v>
      </c>
      <c r="E22" s="10" t="n">
        <f aca="false">MAX(D21+IF($C22=E$11,$C$6,$C$7),E21+$C$8,D22+$C$8)</f>
        <v>-16</v>
      </c>
      <c r="F22" s="10" t="n">
        <f aca="false">MAX(E21+IF($C22=F$11,$C$6,$C$7),F21+$C$8,E22+$C$8)</f>
        <v>-12</v>
      </c>
      <c r="G22" s="10" t="n">
        <f aca="false">MAX(F21+IF($C22=G$11,$C$6,$C$7),G21+$C$8,F22+$C$8)</f>
        <v>-8</v>
      </c>
      <c r="H22" s="10" t="n">
        <f aca="false">MAX(G21+IF($C22=H$11,$C$6,$C$7),H21+$C$8,G22+$C$8)</f>
        <v>-4</v>
      </c>
      <c r="I22" s="10" t="n">
        <f aca="false">MAX(H21+IF($C22=I$11,$C$6,$C$7),I21+$C$8,H22+$C$8)</f>
        <v>-3</v>
      </c>
      <c r="J22" s="10" t="n">
        <f aca="false">MAX(I21+IF($C22=J$11,$C$6,$C$7),J21+$C$8,I22+$C$8)</f>
        <v>1</v>
      </c>
      <c r="K22" s="21" t="n">
        <f aca="false">MAX(J21+IF($C22=K$11,$C$6,$C$7),K21+$C$8,J22+$C$8)</f>
        <v>5</v>
      </c>
      <c r="L22" s="10" t="n">
        <f aca="false">MAX(K21+IF($C22=L$11,$C$6,$C$7),L21+$C$8,K22+$C$8)</f>
        <v>3</v>
      </c>
    </row>
    <row r="23" customFormat="false" ht="15" hidden="false" customHeight="false" outlineLevel="0" collapsed="false">
      <c r="C23" s="20" t="s">
        <v>19</v>
      </c>
      <c r="D23" s="22" t="n">
        <f aca="false">D22+$C$8</f>
        <v>-22</v>
      </c>
      <c r="E23" s="10" t="n">
        <f aca="false">MAX(D22+IF($C23=E$11,$C$6,$C$7),E22+$C$8,D23+$C$8)</f>
        <v>-18</v>
      </c>
      <c r="F23" s="10" t="n">
        <f aca="false">MAX(E22+IF($C23=F$11,$C$6,$C$7),F22+$C$8,E23+$C$8)</f>
        <v>-14</v>
      </c>
      <c r="G23" s="10" t="n">
        <f aca="false">MAX(F22+IF($C23=G$11,$C$6,$C$7),G22+$C$8,F23+$C$8)</f>
        <v>-10</v>
      </c>
      <c r="H23" s="10" t="n">
        <f aca="false">MAX(G22+IF($C23=H$11,$C$6,$C$7),H22+$C$8,G23+$C$8)</f>
        <v>-6</v>
      </c>
      <c r="I23" s="10" t="n">
        <f aca="false">MAX(H22+IF($C23=I$11,$C$6,$C$7),I22+$C$8,H23+$C$8)</f>
        <v>-5</v>
      </c>
      <c r="J23" s="10" t="n">
        <f aca="false">MAX(I22+IF($C23=J$11,$C$6,$C$7),J22+$C$8,I23+$C$8)</f>
        <v>-1</v>
      </c>
      <c r="K23" s="10" t="n">
        <f aca="false">MAX(J22+IF($C23=K$11,$C$6,$C$7),K22+$C$8,J23+$C$8)</f>
        <v>3</v>
      </c>
      <c r="L23" s="21" t="n">
        <f aca="false">MAX(K22+IF($C23=L$11,$C$6,$C$7),L22+$C$8,K23+$C$8)</f>
        <v>7</v>
      </c>
    </row>
    <row r="25" customFormat="false" ht="15" hidden="false" customHeight="false" outlineLevel="0" collapsed="false">
      <c r="B25" s="3" t="s">
        <v>31</v>
      </c>
    </row>
    <row r="26" customFormat="false" ht="15" hidden="false" customHeight="false" outlineLevel="0" collapsed="false">
      <c r="B26" s="23" t="s">
        <v>8</v>
      </c>
      <c r="D26" s="18" t="s">
        <v>16</v>
      </c>
      <c r="E26" s="18" t="s">
        <v>21</v>
      </c>
      <c r="F26" s="18" t="s">
        <v>16</v>
      </c>
      <c r="G26" s="18" t="s">
        <v>19</v>
      </c>
      <c r="H26" s="18" t="s">
        <v>18</v>
      </c>
      <c r="I26" s="18" t="s">
        <v>21</v>
      </c>
      <c r="J26" s="18" t="s">
        <v>19</v>
      </c>
      <c r="K26" s="18" t="s">
        <v>16</v>
      </c>
      <c r="L26" s="18" t="s">
        <v>16</v>
      </c>
      <c r="M26" s="18" t="s">
        <v>21</v>
      </c>
      <c r="N26" s="18" t="s">
        <v>19</v>
      </c>
    </row>
    <row r="27" customFormat="false" ht="15" hidden="false" customHeight="false" outlineLevel="0" collapsed="false">
      <c r="B27" s="23"/>
      <c r="D27" s="11" t="s">
        <v>32</v>
      </c>
      <c r="E27" s="11" t="s">
        <v>32</v>
      </c>
      <c r="F27" s="11" t="s">
        <v>33</v>
      </c>
      <c r="G27" s="11" t="s">
        <v>32</v>
      </c>
      <c r="H27" s="11" t="s">
        <v>32</v>
      </c>
      <c r="I27" s="11" t="s">
        <v>32</v>
      </c>
      <c r="J27" s="11" t="s">
        <v>34</v>
      </c>
      <c r="K27" s="11" t="s">
        <v>34</v>
      </c>
      <c r="L27" s="11" t="s">
        <v>34</v>
      </c>
      <c r="M27" s="11" t="s">
        <v>32</v>
      </c>
      <c r="N27" s="11" t="s">
        <v>32</v>
      </c>
    </row>
    <row r="28" customFormat="false" ht="15" hidden="false" customHeight="false" outlineLevel="0" collapsed="false">
      <c r="B28" s="23" t="s">
        <v>9</v>
      </c>
      <c r="D28" s="18" t="s">
        <v>16</v>
      </c>
      <c r="E28" s="18" t="s">
        <v>21</v>
      </c>
      <c r="F28" s="18" t="s">
        <v>21</v>
      </c>
      <c r="G28" s="18" t="s">
        <v>19</v>
      </c>
      <c r="H28" s="18" t="s">
        <v>18</v>
      </c>
      <c r="I28" s="18" t="s">
        <v>21</v>
      </c>
      <c r="J28" s="18" t="s">
        <v>22</v>
      </c>
      <c r="K28" s="18" t="s">
        <v>22</v>
      </c>
      <c r="L28" s="18" t="s">
        <v>22</v>
      </c>
      <c r="M28" s="18" t="s">
        <v>21</v>
      </c>
      <c r="N28" s="18" t="s">
        <v>19</v>
      </c>
    </row>
    <row r="30" customFormat="false" ht="15" hidden="false" customHeight="false" outlineLevel="0" collapsed="false">
      <c r="B30" s="2" t="s">
        <v>35</v>
      </c>
    </row>
    <row r="31" customFormat="false" ht="15" hidden="false" customHeight="false" outlineLevel="0" collapsed="false">
      <c r="B31" s="2" t="s">
        <v>36</v>
      </c>
    </row>
  </sheetData>
  <printOptions headings="false" gridLines="false" gridLinesSet="true" horizontalCentered="false" verticalCentered="false"/>
  <pageMargins left="0.3" right="0.3" top="0.3" bottom="0.3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2026-09-07T19:02:13Z</dcterms:created>
  <dc:creator>openpyxl</dc:creator>
  <dc:description/>
  <dc:language>en-US</dc:language>
  <cp:lastModifiedBy/>
  <dcterms:modified xsi:type="dcterms:W3CDTF">2026-09-07T19:02:13Z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